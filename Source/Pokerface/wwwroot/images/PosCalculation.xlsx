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s_workspace\C#\Blazor Pokerface\Source\Pokerface\wwwroot\images\"/>
    </mc:Choice>
  </mc:AlternateContent>
  <xr:revisionPtr revIDLastSave="0" documentId="13_ncr:1_{C7F69BA4-D4D2-4AF1-8F0E-EC6371202BA9}" xr6:coauthVersionLast="47" xr6:coauthVersionMax="47" xr10:uidLastSave="{00000000-0000-0000-0000-000000000000}"/>
  <bookViews>
    <workbookView xWindow="-38520" yWindow="-120" windowWidth="38640" windowHeight="21120" xr2:uid="{FAF6CB02-F6BB-431E-A497-149C9B9A438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4" i="1" l="1"/>
  <c r="E43" i="1"/>
  <c r="E41" i="1"/>
  <c r="E40" i="1"/>
  <c r="E38" i="1"/>
  <c r="E37" i="1"/>
  <c r="D38" i="1"/>
  <c r="D40" i="1"/>
  <c r="D41" i="1"/>
  <c r="D43" i="1"/>
  <c r="D44" i="1"/>
  <c r="D37" i="1"/>
  <c r="D33" i="1"/>
  <c r="D34" i="1" s="1"/>
  <c r="E34" i="1"/>
  <c r="E33" i="1"/>
  <c r="E31" i="1"/>
  <c r="E30" i="1"/>
  <c r="D31" i="1"/>
  <c r="D30" i="1"/>
  <c r="E28" i="1"/>
  <c r="E27" i="1"/>
  <c r="D21" i="1"/>
  <c r="D22" i="1" s="1"/>
  <c r="D18" i="1"/>
  <c r="D19" i="1" s="1"/>
  <c r="E7" i="1"/>
  <c r="E13" i="1" s="1"/>
  <c r="D7" i="1"/>
  <c r="D10" i="1" s="1"/>
  <c r="D11" i="1" s="1"/>
  <c r="D12" i="1" s="1"/>
  <c r="D13" i="1" s="1"/>
  <c r="D14" i="1" s="1"/>
  <c r="D27" i="1" l="1"/>
  <c r="D28" i="1" s="1"/>
  <c r="E18" i="1"/>
  <c r="E14" i="1"/>
  <c r="E10" i="1"/>
  <c r="E11" i="1"/>
  <c r="E12" i="1"/>
  <c r="E21" i="1" l="1"/>
  <c r="E22" i="1" s="1"/>
  <c r="E19" i="1"/>
</calcChain>
</file>

<file path=xl/sharedStrings.xml><?xml version="1.0" encoding="utf-8"?>
<sst xmlns="http://schemas.openxmlformats.org/spreadsheetml/2006/main" count="30" uniqueCount="24">
  <si>
    <t>x</t>
  </si>
  <si>
    <t>y</t>
  </si>
  <si>
    <t>card</t>
  </si>
  <si>
    <t>table</t>
  </si>
  <si>
    <t>mitte1</t>
  </si>
  <si>
    <t>community card 1</t>
  </si>
  <si>
    <t>delta</t>
  </si>
  <si>
    <t>community card 2</t>
  </si>
  <si>
    <t>community card 3</t>
  </si>
  <si>
    <t>community card 4</t>
  </si>
  <si>
    <t>community card 5</t>
  </si>
  <si>
    <t>Offset</t>
  </si>
  <si>
    <t>PlayerCard Horizontal 1-1</t>
  </si>
  <si>
    <t>PlayerCard Horizontal 2-1</t>
  </si>
  <si>
    <t>PlayerCard Horizontal 1-2</t>
  </si>
  <si>
    <t>PlayerCard Horizontal 2-2</t>
  </si>
  <si>
    <t>PlayerCard Horizontal 3-1</t>
  </si>
  <si>
    <t>PlayerCard Horizontal 3-2</t>
  </si>
  <si>
    <t>BorderOffset</t>
  </si>
  <si>
    <t>DeltaBetweenPlayer</t>
  </si>
  <si>
    <t>PlayerCard Horizontal 4-1</t>
  </si>
  <si>
    <t>PlayerCard Horizontal 4-2</t>
  </si>
  <si>
    <t>PlayerCard Horizontal 5-1</t>
  </si>
  <si>
    <t>PlayerCard Horizontal 5-2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</si>
</sst>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AEC7B-4A16-42C1-B3EF-07E5C97E2E11}">
  <dimension ref="C3:E44"/>
  <sheetViews>
    <sheetView tabSelected="1" topLeftCell="A4" zoomScale="160" zoomScaleNormal="160" workbookViewId="0">
      <pane ySplit="6" topLeftCell="A24" activePane="bottomLeft" state="frozen"/>
      <selection activeCell="A4" sqref="A4"/>
      <selection pane="bottomLeft" activeCell="N28" sqref="N28"/>
    </sheetView>
  </sheetViews>
  <sheetFormatPr baseColWidth="10" defaultRowHeight="14.5" x14ac:dyDescent="0.35"/>
  <cols>
    <col min="3" max="3" width="21.6328125" customWidth="1"/>
  </cols>
  <sheetData>
    <row r="3" spans="3:5" x14ac:dyDescent="0.35">
      <c r="D3" t="s">
        <v>0</v>
      </c>
      <c r="E3" t="s">
        <v>1</v>
      </c>
    </row>
    <row r="4" spans="3:5" x14ac:dyDescent="0.35">
      <c r="C4" s="1" t="s">
        <v>3</v>
      </c>
      <c r="D4" s="1">
        <v>800</v>
      </c>
      <c r="E4" s="1">
        <v>500</v>
      </c>
    </row>
    <row r="5" spans="3:5" x14ac:dyDescent="0.35">
      <c r="C5" s="1" t="s">
        <v>2</v>
      </c>
      <c r="D5" s="1">
        <v>36</v>
      </c>
      <c r="E5" s="1">
        <v>54</v>
      </c>
    </row>
    <row r="7" spans="3:5" x14ac:dyDescent="0.35">
      <c r="C7" s="1" t="s">
        <v>4</v>
      </c>
      <c r="D7" s="1">
        <f>D4/2</f>
        <v>400</v>
      </c>
      <c r="E7" s="1">
        <f>E4/2</f>
        <v>250</v>
      </c>
    </row>
    <row r="8" spans="3:5" x14ac:dyDescent="0.35">
      <c r="C8" s="1" t="s">
        <v>6</v>
      </c>
      <c r="D8" s="1">
        <v>10</v>
      </c>
      <c r="E8" s="1">
        <v>10</v>
      </c>
    </row>
    <row r="10" spans="3:5" x14ac:dyDescent="0.35">
      <c r="C10" t="s">
        <v>5</v>
      </c>
      <c r="D10">
        <f>$D$7-2*$D$8-2.5*$D$5</f>
        <v>290</v>
      </c>
      <c r="E10">
        <f>$E$7-$E$5/2</f>
        <v>223</v>
      </c>
    </row>
    <row r="11" spans="3:5" x14ac:dyDescent="0.35">
      <c r="C11" t="s">
        <v>7</v>
      </c>
      <c r="D11">
        <f>D10+$D$5+$D$8</f>
        <v>336</v>
      </c>
      <c r="E11">
        <f t="shared" ref="E11:E14" si="0">$E$7-$E$5/2</f>
        <v>223</v>
      </c>
    </row>
    <row r="12" spans="3:5" x14ac:dyDescent="0.35">
      <c r="C12" t="s">
        <v>8</v>
      </c>
      <c r="D12">
        <f t="shared" ref="D12:D14" si="1">D11+$D$5+$D$8</f>
        <v>382</v>
      </c>
      <c r="E12">
        <f t="shared" si="0"/>
        <v>223</v>
      </c>
    </row>
    <row r="13" spans="3:5" x14ac:dyDescent="0.35">
      <c r="C13" t="s">
        <v>9</v>
      </c>
      <c r="D13">
        <f t="shared" si="1"/>
        <v>428</v>
      </c>
      <c r="E13">
        <f t="shared" si="0"/>
        <v>223</v>
      </c>
    </row>
    <row r="14" spans="3:5" x14ac:dyDescent="0.35">
      <c r="C14" t="s">
        <v>10</v>
      </c>
      <c r="D14">
        <f t="shared" si="1"/>
        <v>474</v>
      </c>
      <c r="E14">
        <f t="shared" si="0"/>
        <v>223</v>
      </c>
    </row>
    <row r="17" spans="3:5" x14ac:dyDescent="0.35">
      <c r="C17" t="s">
        <v>11</v>
      </c>
      <c r="D17">
        <v>55</v>
      </c>
    </row>
    <row r="18" spans="3:5" x14ac:dyDescent="0.35">
      <c r="C18" t="s">
        <v>12</v>
      </c>
      <c r="D18">
        <f>$D$17</f>
        <v>55</v>
      </c>
      <c r="E18">
        <f>$E$7-$E$8/2-$D$5</f>
        <v>209</v>
      </c>
    </row>
    <row r="19" spans="3:5" x14ac:dyDescent="0.35">
      <c r="C19" t="s">
        <v>14</v>
      </c>
      <c r="D19">
        <f>D18</f>
        <v>55</v>
      </c>
      <c r="E19">
        <f>E18+10+$D$5</f>
        <v>255</v>
      </c>
    </row>
    <row r="21" spans="3:5" x14ac:dyDescent="0.35">
      <c r="C21" t="s">
        <v>13</v>
      </c>
      <c r="D21">
        <f>$D$4-$D$17-$E$5</f>
        <v>691</v>
      </c>
      <c r="E21">
        <f>E18</f>
        <v>209</v>
      </c>
    </row>
    <row r="22" spans="3:5" x14ac:dyDescent="0.35">
      <c r="C22" t="s">
        <v>15</v>
      </c>
      <c r="D22">
        <f>D21</f>
        <v>691</v>
      </c>
      <c r="E22">
        <f>E21+10+$D$5</f>
        <v>255</v>
      </c>
    </row>
    <row r="24" spans="3:5" x14ac:dyDescent="0.35">
      <c r="C24" t="s">
        <v>19</v>
      </c>
      <c r="D24">
        <v>85</v>
      </c>
    </row>
    <row r="25" spans="3:5" x14ac:dyDescent="0.35">
      <c r="C25" t="s">
        <v>18</v>
      </c>
      <c r="E25">
        <v>50</v>
      </c>
    </row>
    <row r="27" spans="3:5" x14ac:dyDescent="0.35">
      <c r="C27" t="s">
        <v>16</v>
      </c>
      <c r="D27">
        <f>$D$7-$D$8/2-$D$5</f>
        <v>359</v>
      </c>
      <c r="E27">
        <f>$E$25</f>
        <v>50</v>
      </c>
    </row>
    <row r="28" spans="3:5" x14ac:dyDescent="0.35">
      <c r="C28" t="s">
        <v>17</v>
      </c>
      <c r="D28">
        <f>D27+$D$8+$D$5</f>
        <v>405</v>
      </c>
      <c r="E28">
        <f>$E$25</f>
        <v>50</v>
      </c>
    </row>
    <row r="30" spans="3:5" x14ac:dyDescent="0.35">
      <c r="C30" t="s">
        <v>20</v>
      </c>
      <c r="D30">
        <f>D27-$D$24-$D$5</f>
        <v>238</v>
      </c>
      <c r="E30">
        <f>$E$25</f>
        <v>50</v>
      </c>
    </row>
    <row r="31" spans="3:5" x14ac:dyDescent="0.35">
      <c r="C31" t="s">
        <v>21</v>
      </c>
      <c r="D31">
        <f>D30-$D$8-$D$5</f>
        <v>192</v>
      </c>
      <c r="E31">
        <f>$E$25</f>
        <v>50</v>
      </c>
    </row>
    <row r="33" spans="3:5" x14ac:dyDescent="0.35">
      <c r="C33" t="s">
        <v>22</v>
      </c>
      <c r="D33">
        <f>D28+$D$24+$D$5</f>
        <v>526</v>
      </c>
      <c r="E33">
        <f>$E$25</f>
        <v>50</v>
      </c>
    </row>
    <row r="34" spans="3:5" x14ac:dyDescent="0.35">
      <c r="C34" t="s">
        <v>23</v>
      </c>
      <c r="D34">
        <f>D33+$D$8+$D$5</f>
        <v>572</v>
      </c>
      <c r="E34">
        <f>$E$25</f>
        <v>50</v>
      </c>
    </row>
    <row r="37" spans="3:5" x14ac:dyDescent="0.35">
      <c r="C37" t="s">
        <v>16</v>
      </c>
      <c r="D37">
        <f>D27</f>
        <v>359</v>
      </c>
      <c r="E37">
        <f>$E$4-$E$25-$E$5</f>
        <v>396</v>
      </c>
    </row>
    <row r="38" spans="3:5" x14ac:dyDescent="0.35">
      <c r="C38" t="s">
        <v>17</v>
      </c>
      <c r="D38">
        <f t="shared" ref="D38:D44" si="2">D28</f>
        <v>405</v>
      </c>
      <c r="E38">
        <f t="shared" ref="E38:E44" si="3">$E$4-$E$25-$E$5</f>
        <v>396</v>
      </c>
    </row>
    <row r="40" spans="3:5" x14ac:dyDescent="0.35">
      <c r="C40" t="s">
        <v>20</v>
      </c>
      <c r="D40">
        <f t="shared" si="2"/>
        <v>238</v>
      </c>
      <c r="E40">
        <f t="shared" si="3"/>
        <v>396</v>
      </c>
    </row>
    <row r="41" spans="3:5" x14ac:dyDescent="0.35">
      <c r="C41" t="s">
        <v>21</v>
      </c>
      <c r="D41">
        <f t="shared" si="2"/>
        <v>192</v>
      </c>
      <c r="E41">
        <f t="shared" si="3"/>
        <v>396</v>
      </c>
    </row>
    <row r="43" spans="3:5" x14ac:dyDescent="0.35">
      <c r="C43" t="s">
        <v>22</v>
      </c>
      <c r="D43">
        <f t="shared" si="2"/>
        <v>526</v>
      </c>
      <c r="E43">
        <f t="shared" si="3"/>
        <v>396</v>
      </c>
    </row>
    <row r="44" spans="3:5" x14ac:dyDescent="0.35">
      <c r="C44" t="s">
        <v>23</v>
      </c>
      <c r="D44">
        <f t="shared" si="2"/>
        <v>572</v>
      </c>
      <c r="E44">
        <f t="shared" si="3"/>
        <v>396</v>
      </c>
    </row>
  </sheetData>
  <phoneticPr fontId="2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Maier</dc:creator>
  <cp:lastModifiedBy>Andreas Maier</cp:lastModifiedBy>
  <dcterms:created xsi:type="dcterms:W3CDTF">2026-01-03T14:03:29Z</dcterms:created>
  <dcterms:modified xsi:type="dcterms:W3CDTF">2026-01-03T14:33:39Z</dcterms:modified>
</cp:coreProperties>
</file>